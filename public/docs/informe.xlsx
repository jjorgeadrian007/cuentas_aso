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Aso 2024- a febrero 2025\"/>
    </mc:Choice>
  </mc:AlternateContent>
  <bookViews>
    <workbookView xWindow="-120" yWindow="-120" windowWidth="20610" windowHeight="7770" activeTab="2"/>
  </bookViews>
  <sheets>
    <sheet name="Informe 2024" sheetId="3" r:id="rId1"/>
    <sheet name="Informe 2025" sheetId="6" r:id="rId2"/>
    <sheet name="Febrero 2026" sheetId="7" r:id="rId3"/>
    <sheet name="Alicia Q.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8" l="1"/>
  <c r="G5" i="8"/>
  <c r="C21" i="7" l="1"/>
  <c r="C25" i="7" l="1"/>
  <c r="F21" i="7" s="1"/>
  <c r="C71" i="6" l="1"/>
  <c r="C32" i="6"/>
  <c r="F32" i="6" l="1"/>
  <c r="F34" i="6" s="1"/>
  <c r="C21" i="3"/>
  <c r="C45" i="3"/>
  <c r="F24" i="3" l="1"/>
</calcChain>
</file>

<file path=xl/sharedStrings.xml><?xml version="1.0" encoding="utf-8"?>
<sst xmlns="http://schemas.openxmlformats.org/spreadsheetml/2006/main" count="161" uniqueCount="145">
  <si>
    <t>TOTAL INGRESOS</t>
  </si>
  <si>
    <t>EGRESOS</t>
  </si>
  <si>
    <t>TOTAL EGRESOS</t>
  </si>
  <si>
    <t>INGRESOS APORTES SOCIOS</t>
  </si>
  <si>
    <t>BALANCE ECONÓMICO Marzo - Diciembre 2024</t>
  </si>
  <si>
    <t>Aportes marzo 2024</t>
  </si>
  <si>
    <t>Aportes abril 2024</t>
  </si>
  <si>
    <t>Aportes mayo 2024</t>
  </si>
  <si>
    <t>Aportes  junio 2024</t>
  </si>
  <si>
    <t>Aportes julio 2024</t>
  </si>
  <si>
    <t>Aportes agosto 2024</t>
  </si>
  <si>
    <t>Aportes septiembre 2024</t>
  </si>
  <si>
    <t>Aporte octubre 2024</t>
  </si>
  <si>
    <t>Aporte noviembre 2024</t>
  </si>
  <si>
    <t xml:space="preserve">Alimentación </t>
  </si>
  <si>
    <t>Aporte diciembre 2024</t>
  </si>
  <si>
    <t>Mishell Espin</t>
  </si>
  <si>
    <t>Movilización transporte guaguas de pan</t>
  </si>
  <si>
    <t>fundas para cobijas</t>
  </si>
  <si>
    <t>Alimentación  15 de marzo de 2024</t>
  </si>
  <si>
    <t>Placas  sesión solemne años de servicio y jubilados socios 10/04/2024</t>
  </si>
  <si>
    <t>Programa carnaval (transferencia Jonathan)</t>
  </si>
  <si>
    <t>Licor almuerzo navideño 2024</t>
  </si>
  <si>
    <t>Almuerzo navideño 2024</t>
  </si>
  <si>
    <t>Saldo  directorio anterior</t>
  </si>
  <si>
    <t xml:space="preserve">2 arreglos florales ( Doña Carmen y Fabiolita ) </t>
  </si>
  <si>
    <t>Aportes enero 2025</t>
  </si>
  <si>
    <t>Aportes febrero 2025</t>
  </si>
  <si>
    <t>Aportes marzo 2025</t>
  </si>
  <si>
    <t>Aportes abril 2025  (17 sept 2025)</t>
  </si>
  <si>
    <t>Aportes mayo 2025  (17-sep-2025)</t>
  </si>
  <si>
    <t>Aportes  junio 2025</t>
  </si>
  <si>
    <t>Aportes julio 2025</t>
  </si>
  <si>
    <t>Aportes agosto 2025</t>
  </si>
  <si>
    <t>Aportes septiembre 2025</t>
  </si>
  <si>
    <t>Aporte octubre 2025</t>
  </si>
  <si>
    <t>Aporte noviembre 2025</t>
  </si>
  <si>
    <t>Ganancia Actividad venta de choclos</t>
  </si>
  <si>
    <t>Presentes Sesión solemne años de servicio y jubilados socios ( 4 personas)</t>
  </si>
  <si>
    <t>Cartulinas certificación de homenajeados</t>
  </si>
  <si>
    <t>Colaboración gaseosas proceso  postulación terna decano/a</t>
  </si>
  <si>
    <t>BALANCE ECONÓMICO AÑO 2025</t>
  </si>
  <si>
    <t xml:space="preserve">Colado morada </t>
  </si>
  <si>
    <t>Licor para almuerzo navideño</t>
  </si>
  <si>
    <t>Guaguas de pan (0.95 $,  63 peronas  59.85  mas 3 movilización) transfe a Yadi</t>
  </si>
  <si>
    <t>Galletas capacitaciópn LOSEP</t>
  </si>
  <si>
    <t>Rosquillas capacitacón LOSEP octubre 2025</t>
  </si>
  <si>
    <t>Guaguas de pan  panificadora Ambato 31 de octubre de 2025</t>
  </si>
  <si>
    <t>Vasos  térmicos  colada morada</t>
  </si>
  <si>
    <t xml:space="preserve">Fundas de caramelos  </t>
  </si>
  <si>
    <t>Ganancia Actividad  empanadas</t>
  </si>
  <si>
    <t>Gananica Actividad hornado</t>
  </si>
  <si>
    <t>Actividad Venta cerveza</t>
  </si>
  <si>
    <t>Actividad humitas</t>
  </si>
  <si>
    <t xml:space="preserve">Actividad hornado </t>
  </si>
  <si>
    <t>Azucar</t>
  </si>
  <si>
    <t xml:space="preserve">Pago cobijas  </t>
  </si>
  <si>
    <t xml:space="preserve">pago arroz </t>
  </si>
  <si>
    <t xml:space="preserve">Guaguas de pan </t>
  </si>
  <si>
    <t>Colada morada</t>
  </si>
  <si>
    <t xml:space="preserve">Taper redondos para colada morada </t>
  </si>
  <si>
    <t xml:space="preserve">Día de la madre </t>
  </si>
  <si>
    <t xml:space="preserve">Carmen Romero </t>
  </si>
  <si>
    <t xml:space="preserve">Carrera Pricila </t>
  </si>
  <si>
    <t xml:space="preserve">Flores Patiño María Elena </t>
  </si>
  <si>
    <t xml:space="preserve">Hurtado  Jácome  Jean Pierre </t>
  </si>
  <si>
    <t>Quelal Madrid Pablo Alejandro</t>
  </si>
  <si>
    <t xml:space="preserve">Moreno Toapanta Ana Victoria </t>
  </si>
  <si>
    <t>Calle Calle María Esthela</t>
  </si>
  <si>
    <t xml:space="preserve">Músicos de la facultad de artes refrigerio  </t>
  </si>
  <si>
    <t xml:space="preserve">Día del Padre adornos  local </t>
  </si>
  <si>
    <t>Día de la madres almuerzo  ( todos los socios y autoridades)</t>
  </si>
  <si>
    <t>Día del Padre almuerzo (socios y autoridades)</t>
  </si>
  <si>
    <t xml:space="preserve">Azucar, galletas , café  Capacitación Código de Trabajo29-09-2025 </t>
  </si>
  <si>
    <t>Almuerzo navideño diciembre 2025</t>
  </si>
  <si>
    <t>Pavos socios 2025</t>
  </si>
  <si>
    <t>Pavo   socios 2024</t>
  </si>
  <si>
    <t>Refrigerio mesas elecciones aso 2024</t>
  </si>
  <si>
    <t>Brindis sensión solemne 11 abril 2025</t>
  </si>
  <si>
    <t>Mariachi ( Hugo Cisnesros)</t>
  </si>
  <si>
    <t>Vasos</t>
  </si>
  <si>
    <t>Día de la  Madre- adornos local</t>
  </si>
  <si>
    <t>Extras guaguas  y colada</t>
  </si>
  <si>
    <t>19  de diciembre cheque entregado</t>
  </si>
  <si>
    <t xml:space="preserve">Presentes Día del Padre </t>
  </si>
  <si>
    <t>Cartulinas    ( Jonathan)</t>
  </si>
  <si>
    <t xml:space="preserve">Fundas para guaguas de pan </t>
  </si>
  <si>
    <t>15 cartulinas blancas</t>
  </si>
  <si>
    <t xml:space="preserve">Vasos y fundas  </t>
  </si>
  <si>
    <t xml:space="preserve">Aporte diciembre 2025  </t>
  </si>
  <si>
    <t>Postres</t>
  </si>
  <si>
    <t>Almuerzo ( 20 de febrero de 2026)</t>
  </si>
  <si>
    <t>Gaseosas ( 20 de febrero de 2026)</t>
  </si>
  <si>
    <t>Pago DJ ( 20 de febrero de 202)</t>
  </si>
  <si>
    <t>Presente Día de la madre  joyeros</t>
  </si>
  <si>
    <t>Gaseosas día de la madre</t>
  </si>
  <si>
    <t>Gaseosas día del padre</t>
  </si>
  <si>
    <t xml:space="preserve">SALDO NEGATIVO </t>
  </si>
  <si>
    <t>Aportes enero de 2026</t>
  </si>
  <si>
    <t xml:space="preserve">Regalo Navideño Edredones  </t>
  </si>
  <si>
    <t>Fundas de caramelo ( cintas, etc) (socios y comapañeros nuevos)</t>
  </si>
  <si>
    <t>Vino socios  y   brindis almuerzo</t>
  </si>
  <si>
    <t>SALDO NEGATIVO  AÑO 2024</t>
  </si>
  <si>
    <t>descuentos  en rol  desde abril 2025</t>
  </si>
  <si>
    <t>SALDO AÑO 2025  Y   MES ENERO 2026</t>
  </si>
  <si>
    <t>Carmen Romero  año 2025</t>
  </si>
  <si>
    <t>Alicia Quishpe  2024- 2025</t>
  </si>
  <si>
    <t>Suarez Espinosa  Ivonne Katherin año 2025</t>
  </si>
  <si>
    <t>Puetate Darwin año 2025</t>
  </si>
  <si>
    <t>Carmen Romero enero y febrero año 2026</t>
  </si>
  <si>
    <t>SALDO A FAVOR  A FEBRERO 2026</t>
  </si>
  <si>
    <t xml:space="preserve">Presentes Sesión solemne años de servicio y jubilados socios </t>
  </si>
  <si>
    <t>Saldo  directorio anterior a febrero 2026</t>
  </si>
  <si>
    <t>Tonato Zapata John Jairo</t>
  </si>
  <si>
    <t>aporte de enero, febrero y marzo 2026</t>
  </si>
  <si>
    <t>Puetate Darwin</t>
  </si>
  <si>
    <t>aporte enero 2026</t>
  </si>
  <si>
    <t>adeuda 10 dólares año 2025</t>
  </si>
  <si>
    <t>Alicia Quishpe</t>
  </si>
  <si>
    <t xml:space="preserve">Aportes año 2026/ 10 mensuales </t>
  </si>
  <si>
    <t>año 2026</t>
  </si>
  <si>
    <t>descuentos hasta abril 2026</t>
  </si>
  <si>
    <t>FAPUC</t>
  </si>
  <si>
    <t>total</t>
  </si>
  <si>
    <t xml:space="preserve"> Movilización caramelos 21 -dic-2024</t>
  </si>
  <si>
    <t xml:space="preserve">Suarez Espinosa  Ivonne </t>
  </si>
  <si>
    <t xml:space="preserve">                                    BALANCE ECONÓMICO DE febrero  - abril  2026                                                                    </t>
  </si>
  <si>
    <t>Pago tomatodos ( 20 de febrero 2026)</t>
  </si>
  <si>
    <t>Aportes febrero 2026</t>
  </si>
  <si>
    <t>Aportes marzo 2026</t>
  </si>
  <si>
    <t>Aportes abril 2026</t>
  </si>
  <si>
    <t>Prado Emily</t>
  </si>
  <si>
    <t>devolución a socia hasta abril de 2026</t>
  </si>
  <si>
    <t xml:space="preserve">Aportes mayo 2026  </t>
  </si>
  <si>
    <t>Aportes  junio 2026</t>
  </si>
  <si>
    <t>Aportes julio 2026</t>
  </si>
  <si>
    <t>Aportes agosto 2026</t>
  </si>
  <si>
    <t>Aportes septiembre 2026</t>
  </si>
  <si>
    <t>Aporte octubre 2026</t>
  </si>
  <si>
    <t>Aporte noviembre 2026</t>
  </si>
  <si>
    <t>Aporte diciembre 2026</t>
  </si>
  <si>
    <t>aporte de marzo y abril 2026</t>
  </si>
  <si>
    <t>aporte enero y febrero 2026</t>
  </si>
  <si>
    <t>saldo a favor</t>
  </si>
  <si>
    <t>aportes de enero a marzo del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</si>
</sst>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2" fontId="1" fillId="2" borderId="0" xfId="0" applyNumberFormat="1" applyFont="1" applyFill="1"/>
    <xf numFmtId="2" fontId="2" fillId="0" borderId="0" xfId="0" applyNumberFormat="1" applyFont="1"/>
    <xf numFmtId="2" fontId="0" fillId="2" borderId="0" xfId="0" applyNumberFormat="1" applyFill="1"/>
    <xf numFmtId="0" fontId="0" fillId="0" borderId="0" xfId="0" applyAlignment="1">
      <alignment wrapText="1"/>
    </xf>
    <xf numFmtId="2" fontId="0" fillId="0" borderId="0" xfId="0" applyNumberFormat="1"/>
    <xf numFmtId="0" fontId="0" fillId="0" borderId="2" xfId="0" applyBorder="1"/>
    <xf numFmtId="2" fontId="0" fillId="0" borderId="3" xfId="0" applyNumberFormat="1" applyBorder="1"/>
    <xf numFmtId="0" fontId="0" fillId="0" borderId="4" xfId="0" applyBorder="1"/>
    <xf numFmtId="2" fontId="0" fillId="0" borderId="5" xfId="0" applyNumberFormat="1" applyBorder="1"/>
    <xf numFmtId="0" fontId="0" fillId="2" borderId="4" xfId="0" applyFill="1" applyBorder="1"/>
    <xf numFmtId="2" fontId="0" fillId="2" borderId="5" xfId="0" applyNumberFormat="1" applyFill="1" applyBorder="1"/>
    <xf numFmtId="0" fontId="0" fillId="0" borderId="6" xfId="0" applyBorder="1"/>
    <xf numFmtId="0" fontId="0" fillId="2" borderId="9" xfId="0" applyFill="1" applyBorder="1"/>
    <xf numFmtId="2" fontId="0" fillId="2" borderId="10" xfId="0" applyNumberFormat="1" applyFill="1" applyBorder="1"/>
    <xf numFmtId="0" fontId="0" fillId="0" borderId="1" xfId="0" applyBorder="1"/>
    <xf numFmtId="2" fontId="0" fillId="0" borderId="1" xfId="0" applyNumberFormat="1" applyBorder="1"/>
    <xf numFmtId="0" fontId="0" fillId="0" borderId="11" xfId="0" applyBorder="1"/>
    <xf numFmtId="0" fontId="0" fillId="0" borderId="12" xfId="0" applyBorder="1"/>
    <xf numFmtId="2" fontId="0" fillId="2" borderId="5" xfId="0" applyNumberForma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0" fontId="0" fillId="2" borderId="6" xfId="0" applyFill="1" applyBorder="1"/>
    <xf numFmtId="0" fontId="0" fillId="2" borderId="7" xfId="0" applyFill="1" applyBorder="1"/>
    <xf numFmtId="2" fontId="0" fillId="2" borderId="8" xfId="0" applyNumberFormat="1" applyFill="1" applyBorder="1"/>
    <xf numFmtId="15" fontId="0" fillId="0" borderId="0" xfId="0" applyNumberFormat="1"/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wrapText="1"/>
    </xf>
    <xf numFmtId="15" fontId="0" fillId="2" borderId="0" xfId="0" applyNumberFormat="1" applyFill="1"/>
    <xf numFmtId="2" fontId="0" fillId="2" borderId="1" xfId="0" applyNumberFormat="1" applyFill="1" applyBorder="1"/>
    <xf numFmtId="2" fontId="3" fillId="2" borderId="5" xfId="0" applyNumberFormat="1" applyFont="1" applyFill="1" applyBorder="1"/>
    <xf numFmtId="0" fontId="0" fillId="2" borderId="0" xfId="0" applyFill="1" applyAlignment="1">
      <alignment horizontal="left"/>
    </xf>
    <xf numFmtId="2" fontId="2" fillId="3" borderId="1" xfId="0" applyNumberFormat="1" applyFont="1" applyFill="1" applyBorder="1"/>
    <xf numFmtId="2" fontId="0" fillId="0" borderId="12" xfId="0" applyNumberFormat="1" applyBorder="1"/>
    <xf numFmtId="0" fontId="2" fillId="6" borderId="1" xfId="0" applyFont="1" applyFill="1" applyBorder="1"/>
    <xf numFmtId="2" fontId="2" fillId="6" borderId="1" xfId="0" applyNumberFormat="1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17" fontId="0" fillId="2" borderId="0" xfId="0" applyNumberFormat="1" applyFill="1"/>
    <xf numFmtId="0" fontId="0" fillId="0" borderId="4" xfId="0" applyBorder="1" applyAlignment="1">
      <alignment wrapText="1"/>
    </xf>
    <xf numFmtId="0" fontId="0" fillId="2" borderId="4" xfId="0" applyFill="1" applyBorder="1" applyAlignment="1">
      <alignment wrapText="1"/>
    </xf>
    <xf numFmtId="2" fontId="4" fillId="4" borderId="1" xfId="0" applyNumberFormat="1" applyFont="1" applyFill="1" applyBorder="1"/>
    <xf numFmtId="2" fontId="4" fillId="5" borderId="1" xfId="0" applyNumberFormat="1" applyFont="1" applyFill="1" applyBorder="1"/>
    <xf numFmtId="0" fontId="4" fillId="5" borderId="1" xfId="0" applyFont="1" applyFill="1" applyBorder="1"/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/>
    <xf numFmtId="2" fontId="4" fillId="5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2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/>
    <xf numFmtId="2" fontId="2" fillId="5" borderId="1" xfId="0" applyNumberFormat="1" applyFont="1" applyFill="1" applyBorder="1"/>
    <xf numFmtId="0" fontId="2" fillId="3" borderId="1" xfId="0" applyFont="1" applyFill="1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4" fillId="2" borderId="1" xfId="0" applyFont="1" applyFill="1" applyBorder="1" applyAlignment="1">
      <alignment wrapText="1"/>
    </xf>
    <xf numFmtId="2" fontId="4" fillId="2" borderId="1" xfId="0" applyNumberFormat="1" applyFont="1" applyFill="1" applyBorder="1"/>
    <xf numFmtId="0" fontId="0" fillId="7" borderId="6" xfId="0" applyFill="1" applyBorder="1"/>
    <xf numFmtId="2" fontId="0" fillId="7" borderId="5" xfId="0" applyNumberFormat="1" applyFill="1" applyBorder="1"/>
    <xf numFmtId="0" fontId="1" fillId="0" borderId="0" xfId="0" applyFont="1" applyAlignment="1">
      <alignment vertical="center"/>
    </xf>
    <xf numFmtId="17" fontId="0" fillId="0" borderId="1" xfId="0" applyNumberForma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6" borderId="6" xfId="0" applyFill="1" applyBorder="1"/>
    <xf numFmtId="2" fontId="0" fillId="6" borderId="5" xfId="0" applyNumberFormat="1" applyFill="1" applyBorder="1"/>
    <xf numFmtId="0" fontId="0" fillId="6" borderId="0" xfId="0" applyFill="1" applyAlignment="1">
      <alignment horizontal="left"/>
    </xf>
    <xf numFmtId="0" fontId="0" fillId="6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8" borderId="6" xfId="0" applyFill="1" applyBorder="1"/>
    <xf numFmtId="2" fontId="0" fillId="8" borderId="5" xfId="0" applyNumberFormat="1" applyFill="1" applyBorder="1"/>
    <xf numFmtId="0" fontId="0" fillId="8" borderId="0" xfId="0" applyFill="1" applyAlignment="1">
      <alignment horizontal="left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CC66FF"/>
      <color rgb="FFFF66FF"/>
      <color rgb="FFFF3399"/>
      <color rgb="FFEFA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4" zoomScale="86" zoomScaleNormal="86" workbookViewId="0">
      <selection activeCell="F24" sqref="F24"/>
    </sheetView>
  </sheetViews>
  <sheetFormatPr baseColWidth="10" defaultRowHeight="15" x14ac:dyDescent="0.25"/>
  <cols>
    <col min="1" max="1" width="7.7109375" customWidth="1"/>
    <col min="2" max="2" width="52.42578125" customWidth="1"/>
    <col min="3" max="3" width="13.7109375" customWidth="1"/>
    <col min="4" max="4" width="9" customWidth="1"/>
    <col min="5" max="5" width="20.85546875" customWidth="1"/>
    <col min="6" max="6" width="12.5703125" customWidth="1"/>
    <col min="8" max="8" width="11.5703125" customWidth="1"/>
    <col min="9" max="9" width="21.28515625" customWidth="1"/>
  </cols>
  <sheetData>
    <row r="1" spans="1:9" ht="18.75" x14ac:dyDescent="0.3">
      <c r="B1" s="68" t="s">
        <v>4</v>
      </c>
      <c r="C1" s="68"/>
      <c r="D1" s="68"/>
      <c r="E1" s="68"/>
      <c r="F1" s="68"/>
      <c r="G1" s="68"/>
      <c r="H1" s="68"/>
      <c r="I1" s="68"/>
    </row>
    <row r="2" spans="1:9" ht="18.75" x14ac:dyDescent="0.3">
      <c r="B2" s="1"/>
      <c r="C2" s="1"/>
      <c r="D2" s="1"/>
      <c r="E2" s="1"/>
      <c r="F2" s="1"/>
      <c r="G2" s="1"/>
      <c r="H2" s="1"/>
      <c r="I2" s="1"/>
    </row>
    <row r="3" spans="1:9" ht="16.5" thickBot="1" x14ac:dyDescent="0.3">
      <c r="B3" s="2" t="s">
        <v>3</v>
      </c>
      <c r="C3" s="7"/>
    </row>
    <row r="4" spans="1:9" x14ac:dyDescent="0.25">
      <c r="A4">
        <v>1</v>
      </c>
      <c r="B4" s="9" t="s">
        <v>24</v>
      </c>
      <c r="C4" s="10">
        <v>294.02</v>
      </c>
      <c r="E4" s="3"/>
      <c r="F4" s="6"/>
    </row>
    <row r="5" spans="1:9" x14ac:dyDescent="0.25">
      <c r="A5">
        <v>2</v>
      </c>
      <c r="B5" s="11" t="s">
        <v>5</v>
      </c>
      <c r="C5" s="12">
        <v>508.99</v>
      </c>
      <c r="E5" s="3"/>
      <c r="F5" s="6"/>
    </row>
    <row r="6" spans="1:9" x14ac:dyDescent="0.25">
      <c r="A6">
        <v>3</v>
      </c>
      <c r="B6" s="11" t="s">
        <v>6</v>
      </c>
      <c r="C6" s="12">
        <v>514.79999999999995</v>
      </c>
      <c r="E6" s="3"/>
      <c r="F6" s="6"/>
    </row>
    <row r="7" spans="1:9" x14ac:dyDescent="0.25">
      <c r="A7">
        <v>4</v>
      </c>
      <c r="B7" s="11" t="s">
        <v>7</v>
      </c>
      <c r="C7" s="12">
        <v>435.6</v>
      </c>
      <c r="E7" s="3"/>
      <c r="F7" s="6"/>
    </row>
    <row r="8" spans="1:9" x14ac:dyDescent="0.25">
      <c r="A8">
        <v>5</v>
      </c>
      <c r="B8" s="13" t="s">
        <v>8</v>
      </c>
      <c r="C8" s="14">
        <v>435.6</v>
      </c>
      <c r="E8" s="3"/>
      <c r="F8" s="6"/>
      <c r="G8" s="3"/>
      <c r="H8" s="3"/>
      <c r="I8" s="3"/>
    </row>
    <row r="9" spans="1:9" x14ac:dyDescent="0.25">
      <c r="A9">
        <v>6</v>
      </c>
      <c r="B9" s="13" t="s">
        <v>9</v>
      </c>
      <c r="C9" s="14">
        <v>428.01</v>
      </c>
      <c r="E9" s="3"/>
      <c r="F9" s="6"/>
      <c r="G9" s="3"/>
      <c r="H9" s="3"/>
      <c r="I9" s="3"/>
    </row>
    <row r="10" spans="1:9" x14ac:dyDescent="0.25">
      <c r="A10">
        <v>7</v>
      </c>
      <c r="B10" s="13" t="s">
        <v>10</v>
      </c>
      <c r="C10" s="14">
        <v>458.67</v>
      </c>
      <c r="E10" s="3"/>
      <c r="F10" s="3"/>
      <c r="G10" s="3"/>
      <c r="H10" s="3"/>
      <c r="I10" s="3"/>
    </row>
    <row r="11" spans="1:9" x14ac:dyDescent="0.25">
      <c r="A11">
        <v>8</v>
      </c>
      <c r="B11" s="13" t="s">
        <v>11</v>
      </c>
      <c r="C11" s="22">
        <v>429.82</v>
      </c>
      <c r="E11" s="3"/>
      <c r="F11" s="3"/>
      <c r="G11" s="3"/>
      <c r="H11" s="3"/>
      <c r="I11" s="3"/>
    </row>
    <row r="12" spans="1:9" x14ac:dyDescent="0.25">
      <c r="A12">
        <v>9</v>
      </c>
      <c r="B12" s="13" t="s">
        <v>12</v>
      </c>
      <c r="C12" s="14">
        <v>425.7</v>
      </c>
      <c r="E12" s="3"/>
      <c r="F12" s="3"/>
      <c r="G12" s="3"/>
      <c r="H12" s="3"/>
      <c r="I12" s="3"/>
    </row>
    <row r="13" spans="1:9" x14ac:dyDescent="0.25">
      <c r="A13">
        <v>10</v>
      </c>
      <c r="B13" s="13" t="s">
        <v>13</v>
      </c>
      <c r="C13" s="14">
        <v>425.7</v>
      </c>
      <c r="E13" s="3"/>
      <c r="F13" s="3"/>
      <c r="G13" s="3"/>
      <c r="H13" s="3"/>
      <c r="I13" s="3"/>
    </row>
    <row r="14" spans="1:9" x14ac:dyDescent="0.25">
      <c r="A14">
        <v>11</v>
      </c>
      <c r="B14" s="24" t="s">
        <v>15</v>
      </c>
      <c r="C14" s="14">
        <v>440</v>
      </c>
      <c r="E14" s="3"/>
      <c r="F14" s="3"/>
      <c r="G14" s="3"/>
      <c r="H14" s="3"/>
      <c r="I14" s="3"/>
    </row>
    <row r="15" spans="1:9" x14ac:dyDescent="0.25">
      <c r="A15">
        <v>12</v>
      </c>
      <c r="B15" s="15" t="s">
        <v>62</v>
      </c>
      <c r="C15" s="14">
        <v>120</v>
      </c>
      <c r="E15" s="3"/>
      <c r="F15" s="3"/>
      <c r="G15" s="3"/>
      <c r="H15" s="3"/>
      <c r="I15" s="3"/>
    </row>
    <row r="16" spans="1:9" x14ac:dyDescent="0.25">
      <c r="A16">
        <v>13</v>
      </c>
      <c r="B16" s="13" t="s">
        <v>16</v>
      </c>
      <c r="C16" s="14">
        <v>120</v>
      </c>
      <c r="D16" s="27"/>
      <c r="F16" s="3"/>
      <c r="G16" s="3"/>
      <c r="H16" s="3"/>
      <c r="I16" s="3"/>
    </row>
    <row r="17" spans="1:9" x14ac:dyDescent="0.25">
      <c r="A17">
        <v>14</v>
      </c>
      <c r="B17" s="25" t="s">
        <v>52</v>
      </c>
      <c r="C17" s="26">
        <v>97.3</v>
      </c>
      <c r="F17" s="3"/>
      <c r="G17" s="3"/>
      <c r="H17" s="3"/>
      <c r="I17" s="3"/>
    </row>
    <row r="18" spans="1:9" x14ac:dyDescent="0.25">
      <c r="A18">
        <v>15</v>
      </c>
      <c r="B18" s="25" t="s">
        <v>82</v>
      </c>
      <c r="C18" s="26">
        <v>38.6</v>
      </c>
      <c r="F18" s="3"/>
      <c r="G18" s="3"/>
      <c r="H18" s="3"/>
      <c r="I18" s="3"/>
    </row>
    <row r="19" spans="1:9" ht="15.75" thickBot="1" x14ac:dyDescent="0.3">
      <c r="A19">
        <v>16</v>
      </c>
      <c r="B19" s="16" t="s">
        <v>53</v>
      </c>
      <c r="C19" s="17">
        <v>53.6</v>
      </c>
      <c r="F19" s="3"/>
      <c r="G19" s="3"/>
      <c r="H19" s="3"/>
      <c r="I19" s="3"/>
    </row>
    <row r="20" spans="1:9" x14ac:dyDescent="0.25">
      <c r="A20">
        <v>17</v>
      </c>
      <c r="B20" s="25" t="s">
        <v>54</v>
      </c>
      <c r="C20" s="26">
        <v>272.77</v>
      </c>
      <c r="F20" s="3"/>
      <c r="G20" s="3"/>
      <c r="H20" s="3"/>
      <c r="I20" s="3"/>
    </row>
    <row r="21" spans="1:9" ht="18.75" x14ac:dyDescent="0.3">
      <c r="B21" s="36" t="s">
        <v>0</v>
      </c>
      <c r="C21" s="37">
        <f>SUM(C4:C20)</f>
        <v>5499.18</v>
      </c>
      <c r="E21" s="4"/>
    </row>
    <row r="22" spans="1:9" x14ac:dyDescent="0.25">
      <c r="B22" s="3"/>
      <c r="C22" s="8"/>
    </row>
    <row r="23" spans="1:9" ht="16.5" thickBot="1" x14ac:dyDescent="0.3">
      <c r="B23" s="2" t="s">
        <v>1</v>
      </c>
    </row>
    <row r="24" spans="1:9" ht="26.25" customHeight="1" x14ac:dyDescent="0.25">
      <c r="A24">
        <v>1</v>
      </c>
      <c r="B24" s="28" t="s">
        <v>20</v>
      </c>
      <c r="C24" s="10">
        <v>195</v>
      </c>
      <c r="E24" s="53" t="s">
        <v>97</v>
      </c>
      <c r="F24" s="34">
        <f>(C21-C45)</f>
        <v>-538.60999999999967</v>
      </c>
    </row>
    <row r="25" spans="1:9" x14ac:dyDescent="0.25">
      <c r="A25">
        <v>2</v>
      </c>
      <c r="B25" s="20" t="s">
        <v>77</v>
      </c>
      <c r="C25" s="35">
        <v>15</v>
      </c>
    </row>
    <row r="26" spans="1:9" x14ac:dyDescent="0.25">
      <c r="A26">
        <v>3</v>
      </c>
      <c r="B26" s="20" t="s">
        <v>55</v>
      </c>
      <c r="C26" s="35">
        <v>3.1</v>
      </c>
    </row>
    <row r="27" spans="1:9" x14ac:dyDescent="0.25">
      <c r="A27">
        <v>4</v>
      </c>
      <c r="B27" s="20" t="s">
        <v>19</v>
      </c>
      <c r="C27" s="35">
        <v>10.5</v>
      </c>
    </row>
    <row r="28" spans="1:9" x14ac:dyDescent="0.25">
      <c r="A28">
        <v>5</v>
      </c>
      <c r="B28" s="20" t="s">
        <v>25</v>
      </c>
      <c r="C28" s="35">
        <v>22</v>
      </c>
      <c r="F28" s="8"/>
    </row>
    <row r="29" spans="1:9" x14ac:dyDescent="0.25">
      <c r="A29">
        <v>6</v>
      </c>
      <c r="B29" s="11" t="s">
        <v>61</v>
      </c>
      <c r="C29" s="12">
        <v>139.5</v>
      </c>
    </row>
    <row r="30" spans="1:9" x14ac:dyDescent="0.25">
      <c r="A30">
        <v>7</v>
      </c>
      <c r="B30" s="11" t="s">
        <v>84</v>
      </c>
      <c r="C30" s="12">
        <v>101.8</v>
      </c>
    </row>
    <row r="31" spans="1:9" x14ac:dyDescent="0.25">
      <c r="A31">
        <v>8</v>
      </c>
      <c r="B31" s="11" t="s">
        <v>14</v>
      </c>
      <c r="C31" s="12">
        <v>10.5</v>
      </c>
    </row>
    <row r="32" spans="1:9" x14ac:dyDescent="0.25">
      <c r="A32">
        <v>9</v>
      </c>
      <c r="B32" s="11" t="s">
        <v>59</v>
      </c>
      <c r="C32" s="12">
        <v>100</v>
      </c>
    </row>
    <row r="33" spans="1:3" x14ac:dyDescent="0.25">
      <c r="A33">
        <v>10</v>
      </c>
      <c r="B33" s="11" t="s">
        <v>58</v>
      </c>
      <c r="C33" s="23">
        <v>198</v>
      </c>
    </row>
    <row r="34" spans="1:3" x14ac:dyDescent="0.25">
      <c r="A34">
        <v>11</v>
      </c>
      <c r="B34" s="11" t="s">
        <v>60</v>
      </c>
      <c r="C34" s="23">
        <v>27.73</v>
      </c>
    </row>
    <row r="35" spans="1:3" x14ac:dyDescent="0.25">
      <c r="A35">
        <v>12</v>
      </c>
      <c r="B35" s="11" t="s">
        <v>17</v>
      </c>
      <c r="C35" s="23">
        <v>10</v>
      </c>
    </row>
    <row r="36" spans="1:3" x14ac:dyDescent="0.25">
      <c r="A36">
        <v>13</v>
      </c>
      <c r="B36" s="13" t="s">
        <v>76</v>
      </c>
      <c r="C36" s="22">
        <v>1663.9</v>
      </c>
    </row>
    <row r="37" spans="1:3" x14ac:dyDescent="0.25">
      <c r="A37">
        <v>14</v>
      </c>
      <c r="B37" s="13" t="s">
        <v>23</v>
      </c>
      <c r="C37" s="22">
        <v>1863</v>
      </c>
    </row>
    <row r="38" spans="1:3" x14ac:dyDescent="0.25">
      <c r="A38">
        <v>15</v>
      </c>
      <c r="B38" s="13" t="s">
        <v>22</v>
      </c>
      <c r="C38" s="22">
        <v>78</v>
      </c>
    </row>
    <row r="39" spans="1:3" x14ac:dyDescent="0.25">
      <c r="A39">
        <v>16</v>
      </c>
      <c r="B39" s="13" t="s">
        <v>56</v>
      </c>
      <c r="C39" s="22">
        <v>290</v>
      </c>
    </row>
    <row r="40" spans="1:3" x14ac:dyDescent="0.25">
      <c r="A40">
        <v>17</v>
      </c>
      <c r="B40" s="13" t="s">
        <v>57</v>
      </c>
      <c r="C40" s="22">
        <v>612.5</v>
      </c>
    </row>
    <row r="41" spans="1:3" x14ac:dyDescent="0.25">
      <c r="A41">
        <v>18</v>
      </c>
      <c r="B41" s="13" t="s">
        <v>18</v>
      </c>
      <c r="C41" s="22">
        <v>5.96</v>
      </c>
    </row>
    <row r="42" spans="1:3" x14ac:dyDescent="0.25">
      <c r="A42">
        <v>19</v>
      </c>
      <c r="B42" s="13" t="s">
        <v>101</v>
      </c>
      <c r="C42" s="22">
        <v>179.4</v>
      </c>
    </row>
    <row r="43" spans="1:3" x14ac:dyDescent="0.25">
      <c r="A43">
        <v>20</v>
      </c>
      <c r="B43" s="13" t="s">
        <v>100</v>
      </c>
      <c r="C43" s="22">
        <v>496.9</v>
      </c>
    </row>
    <row r="44" spans="1:3" x14ac:dyDescent="0.25">
      <c r="A44">
        <v>21</v>
      </c>
      <c r="B44" s="13" t="s">
        <v>124</v>
      </c>
      <c r="C44" s="22">
        <v>15</v>
      </c>
    </row>
    <row r="45" spans="1:3" ht="15.75" x14ac:dyDescent="0.25">
      <c r="B45" s="36" t="s">
        <v>2</v>
      </c>
      <c r="C45" s="37">
        <f>SUM(C24:C44)</f>
        <v>6037.79</v>
      </c>
    </row>
    <row r="46" spans="1:3" ht="15.75" x14ac:dyDescent="0.25">
      <c r="C46" s="5"/>
    </row>
  </sheetData>
  <mergeCells count="1">
    <mergeCell ref="B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opLeftCell="A13" zoomScale="86" zoomScaleNormal="86" workbookViewId="0">
      <selection activeCell="D25" sqref="D25"/>
    </sheetView>
  </sheetViews>
  <sheetFormatPr baseColWidth="10" defaultRowHeight="15" x14ac:dyDescent="0.25"/>
  <cols>
    <col min="1" max="1" width="7.7109375" customWidth="1"/>
    <col min="2" max="2" width="46" customWidth="1"/>
    <col min="3" max="3" width="13.7109375" customWidth="1"/>
    <col min="4" max="4" width="5.140625" customWidth="1"/>
    <col min="5" max="5" width="27.140625" customWidth="1"/>
    <col min="6" max="6" width="19.42578125" customWidth="1"/>
    <col min="8" max="8" width="11.5703125" customWidth="1"/>
    <col min="9" max="9" width="21.28515625" customWidth="1"/>
  </cols>
  <sheetData>
    <row r="1" spans="1:9" ht="18.75" x14ac:dyDescent="0.3">
      <c r="B1" s="68" t="s">
        <v>41</v>
      </c>
      <c r="C1" s="68"/>
      <c r="D1" s="68"/>
      <c r="E1" s="68"/>
      <c r="F1" s="68"/>
      <c r="G1" s="68"/>
      <c r="H1" s="68"/>
      <c r="I1" s="68"/>
    </row>
    <row r="2" spans="1:9" ht="18.75" x14ac:dyDescent="0.3">
      <c r="B2" s="1"/>
      <c r="C2" s="1"/>
      <c r="D2" s="1"/>
      <c r="E2" s="1"/>
      <c r="F2" s="1"/>
      <c r="G2" s="1"/>
      <c r="H2" s="1"/>
      <c r="I2" s="1"/>
    </row>
    <row r="3" spans="1:9" ht="15.75" x14ac:dyDescent="0.25">
      <c r="B3" s="2" t="s">
        <v>3</v>
      </c>
      <c r="C3" s="7"/>
    </row>
    <row r="4" spans="1:9" x14ac:dyDescent="0.25">
      <c r="A4">
        <v>1</v>
      </c>
      <c r="B4" s="18" t="s">
        <v>26</v>
      </c>
      <c r="C4" s="29">
        <v>425.7</v>
      </c>
    </row>
    <row r="5" spans="1:9" x14ac:dyDescent="0.25">
      <c r="A5">
        <v>2</v>
      </c>
      <c r="B5" s="18" t="s">
        <v>27</v>
      </c>
      <c r="C5" s="29">
        <v>465.3</v>
      </c>
    </row>
    <row r="6" spans="1:9" x14ac:dyDescent="0.25">
      <c r="A6">
        <v>3</v>
      </c>
      <c r="B6" s="18" t="s">
        <v>28</v>
      </c>
      <c r="C6" s="19">
        <v>465.3</v>
      </c>
      <c r="E6" s="3"/>
      <c r="F6" s="6"/>
    </row>
    <row r="7" spans="1:9" x14ac:dyDescent="0.25">
      <c r="A7">
        <v>4</v>
      </c>
      <c r="B7" s="11" t="s">
        <v>29</v>
      </c>
      <c r="C7" s="19">
        <v>504.9</v>
      </c>
      <c r="D7" s="8"/>
      <c r="E7" s="3"/>
      <c r="F7" s="6"/>
    </row>
    <row r="8" spans="1:9" x14ac:dyDescent="0.25">
      <c r="A8">
        <v>5</v>
      </c>
      <c r="B8" s="11" t="s">
        <v>30</v>
      </c>
      <c r="C8" s="19">
        <v>620.61</v>
      </c>
      <c r="D8" s="8"/>
      <c r="E8" s="3"/>
      <c r="F8" s="6"/>
    </row>
    <row r="9" spans="1:9" x14ac:dyDescent="0.25">
      <c r="A9">
        <v>6</v>
      </c>
      <c r="B9" s="13" t="s">
        <v>31</v>
      </c>
      <c r="C9" s="31">
        <v>640.34</v>
      </c>
      <c r="D9" s="3"/>
      <c r="E9" s="3"/>
      <c r="F9" s="6"/>
      <c r="G9" s="3"/>
      <c r="H9" s="3"/>
      <c r="I9" s="3"/>
    </row>
    <row r="10" spans="1:9" x14ac:dyDescent="0.25">
      <c r="A10">
        <v>7</v>
      </c>
      <c r="B10" s="13" t="s">
        <v>32</v>
      </c>
      <c r="C10" s="14">
        <v>616.96</v>
      </c>
      <c r="D10" s="3"/>
      <c r="E10" s="3"/>
      <c r="F10" s="6"/>
      <c r="G10" s="3"/>
      <c r="H10" s="3"/>
      <c r="I10" s="3"/>
    </row>
    <row r="11" spans="1:9" x14ac:dyDescent="0.25">
      <c r="A11">
        <v>8</v>
      </c>
      <c r="B11" s="13" t="s">
        <v>33</v>
      </c>
      <c r="C11" s="14">
        <v>529.08000000000004</v>
      </c>
      <c r="D11" s="3"/>
      <c r="E11" s="3"/>
      <c r="F11" s="3"/>
      <c r="G11" s="3"/>
      <c r="H11" s="3"/>
      <c r="I11" s="3"/>
    </row>
    <row r="12" spans="1:9" x14ac:dyDescent="0.25">
      <c r="A12">
        <v>9</v>
      </c>
      <c r="B12" s="13" t="s">
        <v>34</v>
      </c>
      <c r="C12" s="22">
        <v>524.70000000000005</v>
      </c>
      <c r="D12" s="3"/>
      <c r="E12" s="3"/>
      <c r="F12" s="3"/>
      <c r="G12" s="3"/>
      <c r="H12" s="3"/>
      <c r="I12" s="3"/>
    </row>
    <row r="13" spans="1:9" x14ac:dyDescent="0.25">
      <c r="A13">
        <v>10</v>
      </c>
      <c r="B13" s="13" t="s">
        <v>35</v>
      </c>
      <c r="C13" s="14">
        <v>524.70000000000005</v>
      </c>
      <c r="D13" s="3"/>
      <c r="E13" s="3"/>
      <c r="F13" s="3"/>
      <c r="G13" s="3"/>
      <c r="H13" s="3"/>
      <c r="I13" s="3"/>
    </row>
    <row r="14" spans="1:9" x14ac:dyDescent="0.25">
      <c r="A14">
        <v>11</v>
      </c>
      <c r="B14" s="13" t="s">
        <v>36</v>
      </c>
      <c r="C14" s="14">
        <v>613.79999999999995</v>
      </c>
      <c r="D14" s="3" t="s">
        <v>83</v>
      </c>
      <c r="E14" s="3"/>
      <c r="F14" s="3"/>
      <c r="G14" s="3"/>
      <c r="H14" s="3"/>
      <c r="I14" s="3"/>
    </row>
    <row r="15" spans="1:9" x14ac:dyDescent="0.25">
      <c r="A15">
        <v>12</v>
      </c>
      <c r="B15" s="24" t="s">
        <v>89</v>
      </c>
      <c r="C15" s="14">
        <v>534</v>
      </c>
      <c r="D15" s="33"/>
      <c r="E15" s="3"/>
      <c r="F15" s="3"/>
      <c r="G15" s="3"/>
      <c r="H15" s="3"/>
      <c r="I15" s="3"/>
    </row>
    <row r="16" spans="1:9" x14ac:dyDescent="0.25">
      <c r="A16">
        <v>13</v>
      </c>
      <c r="B16" s="24" t="s">
        <v>98</v>
      </c>
      <c r="C16" s="14">
        <v>544.84</v>
      </c>
      <c r="D16" s="33"/>
      <c r="E16" s="3"/>
      <c r="F16" s="3"/>
      <c r="G16" s="3"/>
      <c r="H16" s="3"/>
      <c r="I16" s="3"/>
    </row>
    <row r="17" spans="1:9" x14ac:dyDescent="0.25">
      <c r="A17">
        <v>14</v>
      </c>
      <c r="B17" s="64" t="s">
        <v>109</v>
      </c>
      <c r="C17" s="65">
        <v>20</v>
      </c>
      <c r="D17" s="66" t="s">
        <v>142</v>
      </c>
      <c r="E17" s="67"/>
      <c r="F17" s="3"/>
      <c r="G17" s="3"/>
      <c r="H17" s="3"/>
      <c r="I17" s="3"/>
    </row>
    <row r="18" spans="1:9" x14ac:dyDescent="0.25">
      <c r="A18">
        <v>15</v>
      </c>
      <c r="B18" s="24" t="s">
        <v>125</v>
      </c>
      <c r="C18" s="14">
        <v>10</v>
      </c>
      <c r="D18" s="33" t="s">
        <v>116</v>
      </c>
      <c r="E18" s="3"/>
      <c r="F18" s="3"/>
      <c r="G18" s="3"/>
      <c r="H18" s="3"/>
      <c r="I18" s="3"/>
    </row>
    <row r="19" spans="1:9" x14ac:dyDescent="0.25">
      <c r="A19">
        <v>16</v>
      </c>
      <c r="B19" s="24" t="s">
        <v>105</v>
      </c>
      <c r="C19" s="14">
        <v>120</v>
      </c>
      <c r="E19" s="3"/>
      <c r="F19" s="3"/>
      <c r="G19" s="3"/>
      <c r="H19" s="3"/>
      <c r="I19" s="3"/>
    </row>
    <row r="20" spans="1:9" x14ac:dyDescent="0.25">
      <c r="A20">
        <v>17</v>
      </c>
      <c r="B20" s="13" t="s">
        <v>106</v>
      </c>
      <c r="C20" s="32">
        <v>240</v>
      </c>
      <c r="E20" s="3"/>
      <c r="F20" s="3"/>
      <c r="G20" s="3"/>
      <c r="H20" s="3"/>
      <c r="I20" s="3"/>
    </row>
    <row r="21" spans="1:9" x14ac:dyDescent="0.25">
      <c r="A21">
        <v>18</v>
      </c>
      <c r="B21" s="13" t="s">
        <v>66</v>
      </c>
      <c r="C21" s="14">
        <v>30</v>
      </c>
      <c r="D21" s="27" t="s">
        <v>103</v>
      </c>
      <c r="F21" s="3"/>
      <c r="G21" s="3"/>
      <c r="H21" s="3"/>
      <c r="I21" s="3"/>
    </row>
    <row r="22" spans="1:9" x14ac:dyDescent="0.25">
      <c r="A22">
        <v>19</v>
      </c>
      <c r="B22" s="25" t="s">
        <v>67</v>
      </c>
      <c r="C22" s="26">
        <v>30</v>
      </c>
      <c r="D22" s="27" t="s">
        <v>103</v>
      </c>
      <c r="F22" s="3"/>
      <c r="G22" s="3"/>
      <c r="H22" s="3"/>
      <c r="I22" s="3"/>
    </row>
    <row r="23" spans="1:9" x14ac:dyDescent="0.25">
      <c r="A23">
        <v>20</v>
      </c>
      <c r="B23" s="25" t="s">
        <v>68</v>
      </c>
      <c r="C23" s="26">
        <v>30</v>
      </c>
      <c r="D23" s="27" t="s">
        <v>103</v>
      </c>
      <c r="F23" s="3"/>
      <c r="G23" s="3"/>
      <c r="H23" s="3"/>
      <c r="I23" s="3"/>
    </row>
    <row r="24" spans="1:9" x14ac:dyDescent="0.25">
      <c r="A24">
        <v>21</v>
      </c>
      <c r="B24" s="25" t="s">
        <v>107</v>
      </c>
      <c r="C24" s="26">
        <v>120</v>
      </c>
      <c r="D24" s="27"/>
      <c r="F24" s="3"/>
      <c r="G24" s="3"/>
      <c r="H24" s="3"/>
      <c r="I24" s="3"/>
    </row>
    <row r="25" spans="1:9" x14ac:dyDescent="0.25">
      <c r="A25">
        <v>22</v>
      </c>
      <c r="B25" s="25" t="s">
        <v>65</v>
      </c>
      <c r="C25" s="26">
        <v>30</v>
      </c>
      <c r="D25" s="27" t="s">
        <v>103</v>
      </c>
      <c r="F25" s="3"/>
      <c r="G25" s="3"/>
      <c r="H25" s="3"/>
      <c r="I25" s="3"/>
    </row>
    <row r="26" spans="1:9" x14ac:dyDescent="0.25">
      <c r="A26">
        <v>23</v>
      </c>
      <c r="B26" s="25" t="s">
        <v>63</v>
      </c>
      <c r="C26" s="26">
        <v>110</v>
      </c>
      <c r="F26" s="3"/>
      <c r="G26" s="30"/>
      <c r="H26" s="3"/>
      <c r="I26" s="3"/>
    </row>
    <row r="27" spans="1:9" x14ac:dyDescent="0.25">
      <c r="A27">
        <v>24</v>
      </c>
      <c r="B27" s="25" t="s">
        <v>108</v>
      </c>
      <c r="C27" s="26">
        <v>120</v>
      </c>
      <c r="D27" s="27"/>
      <c r="F27" s="3"/>
      <c r="G27" s="3"/>
      <c r="H27" s="3"/>
      <c r="I27" s="3"/>
    </row>
    <row r="28" spans="1:9" ht="15.75" thickBot="1" x14ac:dyDescent="0.3">
      <c r="A28">
        <v>25</v>
      </c>
      <c r="B28" s="16" t="s">
        <v>64</v>
      </c>
      <c r="C28" s="17">
        <v>30</v>
      </c>
      <c r="D28" s="27" t="s">
        <v>103</v>
      </c>
      <c r="F28" s="3"/>
      <c r="G28" s="3"/>
      <c r="H28" s="3"/>
      <c r="I28" s="3"/>
    </row>
    <row r="29" spans="1:9" ht="15.75" thickBot="1" x14ac:dyDescent="0.3">
      <c r="A29">
        <v>26</v>
      </c>
      <c r="B29" s="16" t="s">
        <v>37</v>
      </c>
      <c r="C29" s="17">
        <v>108.65</v>
      </c>
      <c r="D29" s="27"/>
      <c r="F29" s="3"/>
      <c r="G29" s="3"/>
      <c r="H29" s="3"/>
      <c r="I29" s="3"/>
    </row>
    <row r="30" spans="1:9" ht="15.75" thickBot="1" x14ac:dyDescent="0.3">
      <c r="A30">
        <v>27</v>
      </c>
      <c r="B30" s="16" t="s">
        <v>50</v>
      </c>
      <c r="C30" s="17">
        <v>47.75</v>
      </c>
      <c r="D30" s="27"/>
      <c r="F30" s="3"/>
      <c r="G30" s="3"/>
      <c r="H30" s="3"/>
      <c r="I30" s="3"/>
    </row>
    <row r="31" spans="1:9" x14ac:dyDescent="0.25">
      <c r="A31">
        <v>28</v>
      </c>
      <c r="B31" s="25" t="s">
        <v>51</v>
      </c>
      <c r="C31" s="26">
        <v>210</v>
      </c>
      <c r="D31" s="27"/>
      <c r="F31" s="3"/>
      <c r="G31" s="3"/>
      <c r="H31" s="3"/>
      <c r="I31" s="3"/>
    </row>
    <row r="32" spans="1:9" ht="30" customHeight="1" x14ac:dyDescent="0.25">
      <c r="B32" s="49" t="s">
        <v>0</v>
      </c>
      <c r="C32" s="50">
        <f>SUM(C4:C31)</f>
        <v>8266.630000000001</v>
      </c>
      <c r="E32" s="48" t="s">
        <v>104</v>
      </c>
      <c r="F32" s="44">
        <f>(C32-C71)</f>
        <v>752.20000000000073</v>
      </c>
    </row>
    <row r="33" spans="1:7" x14ac:dyDescent="0.25">
      <c r="B33" s="3"/>
      <c r="C33" s="8"/>
      <c r="E33" s="47" t="s">
        <v>102</v>
      </c>
      <c r="F33" s="45">
        <v>538.61</v>
      </c>
    </row>
    <row r="34" spans="1:7" ht="28.5" customHeight="1" x14ac:dyDescent="0.25">
      <c r="B34" s="2" t="s">
        <v>1</v>
      </c>
      <c r="E34" s="46" t="s">
        <v>110</v>
      </c>
      <c r="F34" s="43">
        <f>(F32-F33)</f>
        <v>213.59000000000071</v>
      </c>
    </row>
    <row r="35" spans="1:7" x14ac:dyDescent="0.25">
      <c r="A35">
        <v>1</v>
      </c>
      <c r="B35" s="18" t="s">
        <v>21</v>
      </c>
      <c r="C35" s="18">
        <v>12.8</v>
      </c>
      <c r="E35" s="38"/>
      <c r="F35" s="38"/>
    </row>
    <row r="36" spans="1:7" ht="30" x14ac:dyDescent="0.25">
      <c r="A36">
        <v>2</v>
      </c>
      <c r="B36" s="29" t="s">
        <v>38</v>
      </c>
      <c r="C36" s="18">
        <v>83</v>
      </c>
      <c r="E36" s="38"/>
      <c r="F36" s="39"/>
    </row>
    <row r="37" spans="1:7" x14ac:dyDescent="0.25">
      <c r="A37">
        <v>3</v>
      </c>
      <c r="B37" s="20" t="s">
        <v>78</v>
      </c>
      <c r="C37" s="21">
        <v>20</v>
      </c>
      <c r="E37" s="38"/>
      <c r="F37" s="38"/>
    </row>
    <row r="38" spans="1:7" x14ac:dyDescent="0.25">
      <c r="A38">
        <v>4</v>
      </c>
      <c r="B38" s="20" t="s">
        <v>39</v>
      </c>
      <c r="C38" s="21">
        <v>1.4</v>
      </c>
      <c r="E38" s="38"/>
      <c r="F38" s="39"/>
    </row>
    <row r="39" spans="1:7" x14ac:dyDescent="0.25">
      <c r="A39">
        <v>5</v>
      </c>
      <c r="B39" s="20" t="s">
        <v>80</v>
      </c>
      <c r="C39" s="21">
        <v>4.8</v>
      </c>
      <c r="E39" s="40"/>
      <c r="F39" s="3"/>
      <c r="G39" s="3"/>
    </row>
    <row r="40" spans="1:7" x14ac:dyDescent="0.25">
      <c r="A40">
        <v>6</v>
      </c>
      <c r="B40" s="11" t="s">
        <v>94</v>
      </c>
      <c r="C40" s="12">
        <v>47.5</v>
      </c>
      <c r="E40" s="3"/>
      <c r="F40" s="6"/>
      <c r="G40" s="3"/>
    </row>
    <row r="41" spans="1:7" x14ac:dyDescent="0.25">
      <c r="A41">
        <v>7</v>
      </c>
      <c r="B41" s="11" t="s">
        <v>81</v>
      </c>
      <c r="C41" s="12">
        <v>21.5</v>
      </c>
    </row>
    <row r="42" spans="1:7" ht="30" x14ac:dyDescent="0.25">
      <c r="A42">
        <v>8</v>
      </c>
      <c r="B42" s="41" t="s">
        <v>71</v>
      </c>
      <c r="C42" s="12">
        <v>256</v>
      </c>
    </row>
    <row r="43" spans="1:7" x14ac:dyDescent="0.25">
      <c r="A43">
        <v>9</v>
      </c>
      <c r="B43" s="11" t="s">
        <v>95</v>
      </c>
      <c r="C43" s="12">
        <v>18.22</v>
      </c>
    </row>
    <row r="44" spans="1:7" x14ac:dyDescent="0.25">
      <c r="A44">
        <v>10</v>
      </c>
      <c r="B44" s="11" t="s">
        <v>79</v>
      </c>
      <c r="C44" s="12">
        <v>35</v>
      </c>
      <c r="F44" s="3"/>
      <c r="G44" s="3"/>
    </row>
    <row r="45" spans="1:7" x14ac:dyDescent="0.25">
      <c r="A45">
        <v>11</v>
      </c>
      <c r="B45" s="11" t="s">
        <v>69</v>
      </c>
      <c r="C45" s="12">
        <v>7</v>
      </c>
      <c r="F45" s="3"/>
      <c r="G45" s="3"/>
    </row>
    <row r="46" spans="1:7" ht="30" x14ac:dyDescent="0.25">
      <c r="A46">
        <v>12</v>
      </c>
      <c r="B46" s="41" t="s">
        <v>40</v>
      </c>
      <c r="C46" s="12">
        <v>28.75</v>
      </c>
      <c r="F46" s="3"/>
      <c r="G46" s="3"/>
    </row>
    <row r="47" spans="1:7" x14ac:dyDescent="0.25">
      <c r="A47">
        <v>13</v>
      </c>
      <c r="B47" s="11" t="s">
        <v>70</v>
      </c>
      <c r="C47" s="12">
        <v>31.73</v>
      </c>
      <c r="F47" s="3"/>
      <c r="G47" s="3"/>
    </row>
    <row r="48" spans="1:7" x14ac:dyDescent="0.25">
      <c r="A48">
        <v>14</v>
      </c>
      <c r="B48" s="11" t="s">
        <v>72</v>
      </c>
      <c r="C48" s="12">
        <v>243.2</v>
      </c>
      <c r="F48" s="3"/>
      <c r="G48" s="3"/>
    </row>
    <row r="49" spans="1:7" x14ac:dyDescent="0.25">
      <c r="A49">
        <v>15</v>
      </c>
      <c r="B49" s="11" t="s">
        <v>96</v>
      </c>
      <c r="C49" s="12">
        <v>15.5</v>
      </c>
      <c r="F49" s="3"/>
      <c r="G49" s="3"/>
    </row>
    <row r="50" spans="1:7" ht="30" x14ac:dyDescent="0.25">
      <c r="A50">
        <v>16</v>
      </c>
      <c r="B50" s="41" t="s">
        <v>44</v>
      </c>
      <c r="C50" s="23">
        <v>62.85</v>
      </c>
    </row>
    <row r="51" spans="1:7" ht="30" x14ac:dyDescent="0.25">
      <c r="A51">
        <v>17</v>
      </c>
      <c r="B51" s="41" t="s">
        <v>47</v>
      </c>
      <c r="C51" s="23">
        <v>179.4</v>
      </c>
    </row>
    <row r="52" spans="1:7" x14ac:dyDescent="0.25">
      <c r="A52">
        <v>18</v>
      </c>
      <c r="B52" s="13" t="s">
        <v>42</v>
      </c>
      <c r="C52" s="22">
        <v>90</v>
      </c>
    </row>
    <row r="53" spans="1:7" x14ac:dyDescent="0.25">
      <c r="A53">
        <v>19</v>
      </c>
      <c r="B53" s="13" t="s">
        <v>86</v>
      </c>
      <c r="C53" s="22">
        <v>1.5</v>
      </c>
    </row>
    <row r="54" spans="1:7" x14ac:dyDescent="0.25">
      <c r="A54">
        <v>20</v>
      </c>
      <c r="B54" s="13" t="s">
        <v>87</v>
      </c>
      <c r="C54" s="22">
        <v>0.75</v>
      </c>
    </row>
    <row r="55" spans="1:7" x14ac:dyDescent="0.25">
      <c r="A55">
        <v>21</v>
      </c>
      <c r="B55" s="13" t="s">
        <v>48</v>
      </c>
      <c r="C55" s="22">
        <v>11.24</v>
      </c>
    </row>
    <row r="56" spans="1:7" ht="28.5" customHeight="1" x14ac:dyDescent="0.25">
      <c r="A56">
        <v>22</v>
      </c>
      <c r="B56" s="42" t="s">
        <v>73</v>
      </c>
      <c r="C56" s="22">
        <v>9.34</v>
      </c>
    </row>
    <row r="57" spans="1:7" x14ac:dyDescent="0.25">
      <c r="A57">
        <v>23</v>
      </c>
      <c r="B57" s="13" t="s">
        <v>45</v>
      </c>
      <c r="C57" s="22">
        <v>1.25</v>
      </c>
      <c r="D57" s="3"/>
    </row>
    <row r="58" spans="1:7" x14ac:dyDescent="0.25">
      <c r="A58">
        <v>24</v>
      </c>
      <c r="B58" s="13" t="s">
        <v>46</v>
      </c>
      <c r="C58" s="22">
        <v>3.6</v>
      </c>
      <c r="D58" s="3"/>
    </row>
    <row r="59" spans="1:7" x14ac:dyDescent="0.25">
      <c r="A59">
        <v>25</v>
      </c>
      <c r="B59" s="13" t="s">
        <v>85</v>
      </c>
      <c r="C59" s="22">
        <v>0.75</v>
      </c>
      <c r="D59" s="3"/>
    </row>
    <row r="60" spans="1:7" x14ac:dyDescent="0.25">
      <c r="A60">
        <v>26</v>
      </c>
      <c r="B60" s="13" t="s">
        <v>88</v>
      </c>
      <c r="C60" s="22">
        <v>4.9000000000000004</v>
      </c>
      <c r="D60" s="3"/>
    </row>
    <row r="61" spans="1:7" x14ac:dyDescent="0.25">
      <c r="A61">
        <v>27</v>
      </c>
      <c r="B61" s="13" t="s">
        <v>74</v>
      </c>
      <c r="C61" s="22">
        <v>1692</v>
      </c>
      <c r="D61" s="33"/>
    </row>
    <row r="62" spans="1:7" x14ac:dyDescent="0.25">
      <c r="A62">
        <v>28</v>
      </c>
      <c r="B62" s="13" t="s">
        <v>75</v>
      </c>
      <c r="C62" s="22">
        <v>2196.23</v>
      </c>
      <c r="D62" s="33"/>
    </row>
    <row r="63" spans="1:7" x14ac:dyDescent="0.25">
      <c r="A63">
        <v>29</v>
      </c>
      <c r="B63" s="13" t="s">
        <v>49</v>
      </c>
      <c r="C63" s="22">
        <v>315</v>
      </c>
      <c r="D63" s="3"/>
    </row>
    <row r="64" spans="1:7" x14ac:dyDescent="0.25">
      <c r="A64">
        <v>30</v>
      </c>
      <c r="B64" s="13" t="s">
        <v>43</v>
      </c>
      <c r="C64" s="22">
        <v>135.47</v>
      </c>
      <c r="D64" s="3"/>
    </row>
    <row r="65" spans="1:4" x14ac:dyDescent="0.25">
      <c r="A65">
        <v>31</v>
      </c>
      <c r="B65" s="13" t="s">
        <v>99</v>
      </c>
      <c r="C65" s="22">
        <v>1088</v>
      </c>
      <c r="D65" s="3"/>
    </row>
    <row r="66" spans="1:4" x14ac:dyDescent="0.25">
      <c r="A66">
        <v>32</v>
      </c>
      <c r="B66" s="13" t="s">
        <v>127</v>
      </c>
      <c r="C66" s="22">
        <v>405</v>
      </c>
      <c r="D66" s="3"/>
    </row>
    <row r="67" spans="1:4" x14ac:dyDescent="0.25">
      <c r="A67">
        <v>33</v>
      </c>
      <c r="B67" s="13" t="s">
        <v>93</v>
      </c>
      <c r="C67" s="22">
        <v>40</v>
      </c>
      <c r="D67" s="3"/>
    </row>
    <row r="68" spans="1:4" x14ac:dyDescent="0.25">
      <c r="A68">
        <v>34</v>
      </c>
      <c r="B68" s="13" t="s">
        <v>91</v>
      </c>
      <c r="C68" s="22">
        <v>378</v>
      </c>
      <c r="D68" s="3"/>
    </row>
    <row r="69" spans="1:4" x14ac:dyDescent="0.25">
      <c r="A69">
        <v>35</v>
      </c>
      <c r="B69" s="13" t="s">
        <v>92</v>
      </c>
      <c r="C69" s="22">
        <v>12.75</v>
      </c>
      <c r="D69" s="3"/>
    </row>
    <row r="70" spans="1:4" x14ac:dyDescent="0.25">
      <c r="A70">
        <v>36</v>
      </c>
      <c r="B70" s="13" t="s">
        <v>90</v>
      </c>
      <c r="C70" s="22">
        <v>60</v>
      </c>
    </row>
    <row r="71" spans="1:4" ht="15.75" x14ac:dyDescent="0.25">
      <c r="B71" s="51" t="s">
        <v>2</v>
      </c>
      <c r="C71" s="52">
        <f>SUM(C35:C70)</f>
        <v>7514.43</v>
      </c>
    </row>
    <row r="72" spans="1:4" ht="15.75" x14ac:dyDescent="0.25">
      <c r="C72" s="5"/>
    </row>
  </sheetData>
  <mergeCells count="1">
    <mergeCell ref="B1:I1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topLeftCell="A7" workbookViewId="0">
      <selection activeCell="B19" sqref="B19"/>
    </sheetView>
  </sheetViews>
  <sheetFormatPr baseColWidth="10" defaultRowHeight="15" x14ac:dyDescent="0.25"/>
  <cols>
    <col min="2" max="2" width="43" customWidth="1"/>
    <col min="3" max="3" width="8.28515625" customWidth="1"/>
    <col min="6" max="6" width="15" customWidth="1"/>
  </cols>
  <sheetData>
    <row r="1" spans="1:9" ht="18.75" x14ac:dyDescent="0.25">
      <c r="B1" s="69" t="s">
        <v>126</v>
      </c>
      <c r="C1" s="69"/>
      <c r="D1" s="69"/>
      <c r="E1" s="69"/>
      <c r="F1" s="69"/>
      <c r="G1" s="69"/>
      <c r="H1" s="60"/>
      <c r="I1" s="60"/>
    </row>
    <row r="2" spans="1:9" ht="18.75" x14ac:dyDescent="0.3">
      <c r="B2" s="54"/>
      <c r="C2" s="54"/>
      <c r="D2" s="54"/>
      <c r="E2" s="54"/>
      <c r="F2" s="54"/>
      <c r="G2" s="54"/>
      <c r="H2" s="54"/>
      <c r="I2" s="54"/>
    </row>
    <row r="3" spans="1:9" ht="16.5" thickBot="1" x14ac:dyDescent="0.3">
      <c r="B3" s="2" t="s">
        <v>3</v>
      </c>
      <c r="C3" s="7"/>
    </row>
    <row r="4" spans="1:9" x14ac:dyDescent="0.25">
      <c r="B4" s="9" t="s">
        <v>112</v>
      </c>
      <c r="C4" s="29">
        <v>213.58</v>
      </c>
    </row>
    <row r="5" spans="1:9" x14ac:dyDescent="0.25">
      <c r="A5">
        <v>2</v>
      </c>
      <c r="B5" s="18" t="s">
        <v>128</v>
      </c>
      <c r="C5" s="29">
        <v>498.48</v>
      </c>
      <c r="D5" t="s">
        <v>122</v>
      </c>
    </row>
    <row r="6" spans="1:9" x14ac:dyDescent="0.25">
      <c r="A6">
        <v>3</v>
      </c>
      <c r="B6" s="18" t="s">
        <v>129</v>
      </c>
      <c r="C6" s="19">
        <v>560</v>
      </c>
      <c r="D6" t="s">
        <v>122</v>
      </c>
      <c r="E6" s="3"/>
      <c r="F6" s="6"/>
    </row>
    <row r="7" spans="1:9" x14ac:dyDescent="0.25">
      <c r="A7">
        <v>4</v>
      </c>
      <c r="B7" s="11" t="s">
        <v>130</v>
      </c>
      <c r="C7" s="19">
        <v>491.44</v>
      </c>
      <c r="D7" s="8" t="s">
        <v>122</v>
      </c>
      <c r="E7" s="3"/>
      <c r="F7" s="6"/>
    </row>
    <row r="8" spans="1:9" x14ac:dyDescent="0.25">
      <c r="A8">
        <v>5</v>
      </c>
      <c r="B8" s="11" t="s">
        <v>133</v>
      </c>
      <c r="C8" s="19"/>
      <c r="D8" s="8"/>
      <c r="E8" s="3"/>
      <c r="F8" s="6"/>
    </row>
    <row r="9" spans="1:9" x14ac:dyDescent="0.25">
      <c r="A9">
        <v>6</v>
      </c>
      <c r="B9" s="13" t="s">
        <v>134</v>
      </c>
      <c r="C9" s="31"/>
      <c r="D9" s="3"/>
      <c r="E9" s="3"/>
      <c r="F9" s="6"/>
      <c r="G9" s="3"/>
      <c r="H9" s="3"/>
      <c r="I9" s="3"/>
    </row>
    <row r="10" spans="1:9" x14ac:dyDescent="0.25">
      <c r="A10">
        <v>7</v>
      </c>
      <c r="B10" s="13" t="s">
        <v>135</v>
      </c>
      <c r="C10" s="14"/>
      <c r="D10" s="3"/>
      <c r="E10" s="3"/>
      <c r="F10" s="6"/>
      <c r="G10" s="3"/>
      <c r="H10" s="3"/>
      <c r="I10" s="3"/>
    </row>
    <row r="11" spans="1:9" x14ac:dyDescent="0.25">
      <c r="A11">
        <v>8</v>
      </c>
      <c r="B11" s="13" t="s">
        <v>136</v>
      </c>
      <c r="C11" s="14"/>
      <c r="D11" s="3"/>
      <c r="E11" s="3"/>
      <c r="F11" s="3"/>
      <c r="G11" s="3"/>
      <c r="H11" s="3"/>
      <c r="I11" s="3"/>
    </row>
    <row r="12" spans="1:9" x14ac:dyDescent="0.25">
      <c r="A12">
        <v>9</v>
      </c>
      <c r="B12" s="13" t="s">
        <v>137</v>
      </c>
      <c r="C12" s="22"/>
      <c r="D12" s="3"/>
      <c r="E12" s="3"/>
      <c r="F12" s="3"/>
      <c r="G12" s="3"/>
      <c r="H12" s="3"/>
      <c r="I12" s="3"/>
    </row>
    <row r="13" spans="1:9" x14ac:dyDescent="0.25">
      <c r="A13">
        <v>10</v>
      </c>
      <c r="B13" s="13" t="s">
        <v>138</v>
      </c>
      <c r="C13" s="14"/>
      <c r="D13" s="3"/>
      <c r="E13" s="3"/>
      <c r="F13" s="3"/>
      <c r="G13" s="3"/>
      <c r="H13" s="3"/>
      <c r="I13" s="3"/>
    </row>
    <row r="14" spans="1:9" x14ac:dyDescent="0.25">
      <c r="A14">
        <v>11</v>
      </c>
      <c r="B14" s="13" t="s">
        <v>139</v>
      </c>
      <c r="C14" s="14"/>
      <c r="D14" s="3"/>
      <c r="E14" s="3"/>
      <c r="F14" s="3"/>
      <c r="G14" s="3"/>
      <c r="H14" s="3"/>
      <c r="I14" s="3"/>
    </row>
    <row r="15" spans="1:9" x14ac:dyDescent="0.25">
      <c r="A15">
        <v>12</v>
      </c>
      <c r="B15" s="24" t="s">
        <v>140</v>
      </c>
      <c r="C15" s="14"/>
      <c r="D15" s="33"/>
      <c r="E15" s="3"/>
      <c r="F15" s="3"/>
      <c r="G15" s="3"/>
      <c r="H15" s="3"/>
      <c r="I15" s="3"/>
    </row>
    <row r="16" spans="1:9" x14ac:dyDescent="0.25">
      <c r="B16" s="70" t="s">
        <v>113</v>
      </c>
      <c r="C16" s="71">
        <v>30</v>
      </c>
      <c r="D16" s="72" t="s">
        <v>114</v>
      </c>
      <c r="E16" s="73"/>
      <c r="F16" s="73"/>
      <c r="G16" s="3"/>
      <c r="H16" s="3"/>
      <c r="I16" s="3"/>
    </row>
    <row r="17" spans="2:9" x14ac:dyDescent="0.25">
      <c r="B17" s="58" t="s">
        <v>63</v>
      </c>
      <c r="C17" s="59"/>
      <c r="D17" s="33" t="s">
        <v>117</v>
      </c>
      <c r="E17" s="3"/>
      <c r="F17" s="3"/>
      <c r="G17" s="3"/>
      <c r="H17" s="3"/>
      <c r="I17" s="3"/>
    </row>
    <row r="18" spans="2:9" x14ac:dyDescent="0.25">
      <c r="B18" s="58" t="s">
        <v>131</v>
      </c>
      <c r="C18" s="59">
        <v>30</v>
      </c>
      <c r="D18" s="33" t="s">
        <v>144</v>
      </c>
      <c r="E18" s="3"/>
      <c r="F18" s="3"/>
      <c r="G18" s="3"/>
      <c r="H18" s="3"/>
      <c r="I18" s="3"/>
    </row>
    <row r="19" spans="2:9" x14ac:dyDescent="0.25">
      <c r="B19" s="58" t="s">
        <v>115</v>
      </c>
      <c r="C19" s="59"/>
      <c r="D19" s="33"/>
      <c r="E19" s="3"/>
      <c r="F19" s="3"/>
      <c r="G19" s="3"/>
      <c r="H19" s="3"/>
      <c r="I19" s="3"/>
    </row>
    <row r="20" spans="2:9" x14ac:dyDescent="0.25">
      <c r="B20" s="64" t="s">
        <v>62</v>
      </c>
      <c r="C20" s="65">
        <v>20</v>
      </c>
      <c r="D20" s="66" t="s">
        <v>141</v>
      </c>
      <c r="E20" s="67"/>
      <c r="F20" s="3"/>
      <c r="G20" s="3"/>
      <c r="H20" s="3"/>
      <c r="I20" s="3"/>
    </row>
    <row r="21" spans="2:9" ht="29.25" customHeight="1" x14ac:dyDescent="0.25">
      <c r="B21" s="49" t="s">
        <v>0</v>
      </c>
      <c r="C21" s="50">
        <f>SUM(C4:C20)</f>
        <v>1843.5</v>
      </c>
      <c r="E21" s="48" t="s">
        <v>143</v>
      </c>
      <c r="F21" s="44">
        <f>(C21-C25)</f>
        <v>1783.5</v>
      </c>
    </row>
    <row r="22" spans="2:9" ht="15.75" x14ac:dyDescent="0.25">
      <c r="B22" s="2" t="s">
        <v>1</v>
      </c>
      <c r="E22" s="56"/>
      <c r="F22" s="57"/>
    </row>
    <row r="23" spans="2:9" ht="29.25" customHeight="1" x14ac:dyDescent="0.25">
      <c r="B23" s="29" t="s">
        <v>111</v>
      </c>
      <c r="C23" s="18">
        <v>60</v>
      </c>
      <c r="E23" s="55"/>
      <c r="F23" s="31"/>
    </row>
    <row r="24" spans="2:9" x14ac:dyDescent="0.25">
      <c r="B24" s="20"/>
      <c r="C24" s="21"/>
      <c r="E24" s="38"/>
      <c r="F24" s="38"/>
    </row>
    <row r="25" spans="2:9" ht="15.75" x14ac:dyDescent="0.25">
      <c r="B25" s="51" t="s">
        <v>2</v>
      </c>
      <c r="C25" s="52">
        <f>SUM(C23:C24)</f>
        <v>60</v>
      </c>
    </row>
    <row r="26" spans="2:9" ht="15.75" x14ac:dyDescent="0.25">
      <c r="C26" s="5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7"/>
  <sheetViews>
    <sheetView workbookViewId="0">
      <selection activeCell="H9" sqref="H9"/>
    </sheetView>
  </sheetViews>
  <sheetFormatPr baseColWidth="10" defaultRowHeight="15" x14ac:dyDescent="0.25"/>
  <cols>
    <col min="2" max="2" width="17.85546875" customWidth="1"/>
  </cols>
  <sheetData>
    <row r="4" spans="2:8" x14ac:dyDescent="0.25">
      <c r="B4" s="18"/>
      <c r="C4" s="61">
        <v>46023</v>
      </c>
      <c r="D4" s="61">
        <v>46054</v>
      </c>
      <c r="E4" s="61">
        <v>46082</v>
      </c>
      <c r="F4" s="61">
        <v>46113</v>
      </c>
      <c r="G4" s="63" t="s">
        <v>123</v>
      </c>
      <c r="H4" s="18"/>
    </row>
    <row r="5" spans="2:8" ht="45" x14ac:dyDescent="0.25">
      <c r="B5" s="18" t="s">
        <v>118</v>
      </c>
      <c r="C5" s="18">
        <v>80.34</v>
      </c>
      <c r="D5" s="18">
        <v>28.48</v>
      </c>
      <c r="E5" s="18">
        <v>90.79</v>
      </c>
      <c r="F5" s="18">
        <v>7.25</v>
      </c>
      <c r="G5" s="18">
        <f>SUM(C5:F5)</f>
        <v>206.86</v>
      </c>
      <c r="H5" s="62" t="s">
        <v>121</v>
      </c>
    </row>
    <row r="6" spans="2:8" ht="30" x14ac:dyDescent="0.25">
      <c r="B6" s="62" t="s">
        <v>119</v>
      </c>
      <c r="C6" s="18"/>
      <c r="D6" s="18"/>
      <c r="E6" s="18"/>
      <c r="F6" s="18"/>
      <c r="G6" s="18">
        <v>120</v>
      </c>
      <c r="H6" s="18" t="s">
        <v>120</v>
      </c>
    </row>
    <row r="7" spans="2:8" ht="60" x14ac:dyDescent="0.25">
      <c r="B7" s="18"/>
      <c r="C7" s="18"/>
      <c r="D7" s="18"/>
      <c r="E7" s="18"/>
      <c r="F7" s="18"/>
      <c r="G7" s="18">
        <f>(G5-G6)</f>
        <v>86.860000000000014</v>
      </c>
      <c r="H7" s="6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Informe 2024</vt:lpstr>
      <vt:lpstr>Informe 2025</vt:lpstr>
      <vt:lpstr>Febrero 2026</vt:lpstr>
      <vt:lpstr>Alicia 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NORALMA MAGDALENA QUELAL GONZALEZ</dc:creator>
  <cp:lastModifiedBy>QUELAL</cp:lastModifiedBy>
  <dcterms:created xsi:type="dcterms:W3CDTF">2024-02-21T15:54:57Z</dcterms:created>
  <dcterms:modified xsi:type="dcterms:W3CDTF">2026-06-09T12:55:23Z</dcterms:modified>
</cp:coreProperties>
</file>